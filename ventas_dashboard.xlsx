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\Downloads\"/>
    </mc:Choice>
  </mc:AlternateContent>
  <xr:revisionPtr revIDLastSave="0" documentId="8_{BCC16AD9-BE6C-4158-9D50-E36EE8A63E16}" xr6:coauthVersionLast="47" xr6:coauthVersionMax="47" xr10:uidLastSave="{00000000-0000-0000-0000-000000000000}"/>
  <bookViews>
    <workbookView xWindow="20370" yWindow="-120" windowWidth="15600" windowHeight="11040" xr2:uid="{D2637217-D3A4-49B5-BE0F-FAAFC5DEB39D}"/>
  </bookViews>
  <sheets>
    <sheet name="Dashboard" sheetId="2" r:id="rId1"/>
    <sheet name="ventas_dashboard" sheetId="1" r:id="rId2"/>
  </sheets>
  <definedNames>
    <definedName name="SegmentaciónDeDatos_categoria">#N/A</definedName>
    <definedName name="SegmentaciónDeDatos_cliente">#N/A</definedName>
    <definedName name="SegmentaciónDeDatos_producto">#N/A</definedName>
    <definedName name="SegmentaciónDeDatos_subtotal">#N/A</definedName>
    <definedName name="SegmentaciónDeDatos_subtotal1">#N/A</definedName>
    <definedName name="SegmentaciónDeDatos_subtotal2">#N/A</definedName>
  </definedNames>
  <calcPr calcId="191029"/>
  <pivotCaches>
    <pivotCache cacheId="1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<sst xmlns="http://schemas.openxmlformats.org/spreadsheetml/2006/main" count="46" uniqueCount="22">
  <si>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id_venta</t>
  </si>
  <si>
    <t>cliente</t>
  </si>
  <si>
    <t>categoria</t>
  </si>
  <si>
    <t>producto</t>
  </si>
  <si>
    <t>cantidad</t>
  </si>
  <si>
    <t>subtotal</t>
  </si>
  <si>
    <t>fecha_venta</t>
  </si>
  <si>
    <t>Ana Torres</t>
  </si>
  <si>
    <t>Laptos</t>
  </si>
  <si>
    <t>Laptop Lenovo</t>
  </si>
  <si>
    <t>Accesorios</t>
  </si>
  <si>
    <t>Mouse Logitech</t>
  </si>
  <si>
    <t>Lucia Mendoza</t>
  </si>
  <si>
    <t>Teclado Redragon</t>
  </si>
  <si>
    <t>Carlos Ruiz</t>
  </si>
  <si>
    <t>Monitores</t>
  </si>
  <si>
    <t>Monitor Samsung</t>
  </si>
  <si>
    <t>Audio</t>
  </si>
  <si>
    <t>Audifonos JBL</t>
  </si>
  <si>
    <t>Etiquetas de fila</t>
  </si>
  <si>
    <t>Total general</t>
  </si>
  <si>
    <t>Suma de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</si>
</sst>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0" xfId="0" pivotButton="1" applyBorder="1"/>
    <xf numFmtId="0" fontId="0" fillId="0" borderId="10" xfId="0" applyBorder="1"/>
    <xf numFmtId="164" fontId="0" fillId="0" borderId="10" xfId="0" applyNumberFormat="1" applyBorder="1"/>
    <xf numFmtId="0" fontId="0" fillId="0" borderId="10" xfId="0" applyBorder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S/&quot;\ #,##0.0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5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styles" Target="styles.xml"/><Relationship Id="rId5" Type="http://schemas.microsoft.com/office/2007/relationships/slicerCache" Target="slicerCaches/slicerCache2.xml"/><Relationship Id="rId10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microsoft.com/office/2007/relationships/slicerCache" Target="slicerCaches/slicerCache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[ventas_dashboard.xlsx]Dashboard!TablaDinámica1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  <a:r>
              <a:rPr lang="en-US" baseline="0"/>
              <a:t> por categoria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55313179798244"/>
          <c:y val="0.19486111111111112"/>
          <c:w val="0.813446868202017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Dashboard!$B$9:$B$13</c:f>
              <c:strCache>
                <c:ptCount val="4"/>
                <c:pt idx="0">
                  <c:v>Accesorios</c:v>
                </c:pt>
                <c:pt idx="1">
                  <c:v>Audio</c:v>
                </c:pt>
                <c:pt idx="2">
                  <c:v>Laptos</c:v>
                </c:pt>
                <c:pt idx="3">
                  <c:v>Monitores</c:v>
                </c:pt>
              </c:strCache>
            </c:strRef>
          </c:cat>
          <c:val>
            <c:numRef>
              <c:f>Dashboard!$C$9:$C$13</c:f>
              <c:numCache>
                <c:formatCode>"S/"\ #,##0.00</c:formatCode>
                <c:ptCount val="4"/>
                <c:pt idx="0">
                  <c:v>280</c:v>
                </c:pt>
                <c:pt idx="1">
                  <c:v>150</c:v>
                </c:pt>
                <c:pt idx="2">
                  <c:v>2500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5-47DF-9F7E-92E485841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686368"/>
        <c:axId val="925703168"/>
      </c:barChart>
      <c:catAx>
        <c:axId val="9256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5703168"/>
        <c:crosses val="autoZero"/>
        <c:auto val="1"/>
        <c:lblAlgn val="ctr"/>
        <c:lblOffset val="100"/>
        <c:noMultiLvlLbl val="0"/>
      </c:catAx>
      <c:valAx>
        <c:axId val="92570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568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[ventas_dashboard.xlsx]Dashboard!TablaDinámica2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Clientes con mayor gasto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Dashboard!$C$17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Dashboard!$B$18:$B$21</c:f>
              <c:strCache>
                <c:ptCount val="3"/>
                <c:pt idx="0">
                  <c:v>Ana Torres</c:v>
                </c:pt>
                <c:pt idx="1">
                  <c:v>Carlos Ruiz</c:v>
                </c:pt>
                <c:pt idx="2">
                  <c:v>Lucia Mendoza</c:v>
                </c:pt>
              </c:strCache>
            </c:strRef>
          </c:cat>
          <c:val>
            <c:numRef>
              <c:f>Dashboard!$C$18:$C$21</c:f>
              <c:numCache>
                <c:formatCode>"S/"\ #,##0.00</c:formatCode>
                <c:ptCount val="3"/>
                <c:pt idx="0">
                  <c:v>2730</c:v>
                </c:pt>
                <c:pt idx="1">
                  <c:v>900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7-4900-A648-EF3A735FD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832119309010003"/>
          <c:y val="0.42442429532699505"/>
          <c:w val="0.20765379619068258"/>
          <c:h val="0.297281913872943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[ventas_dashboard.xlsx]Dashboard!TablaDinámica3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Productos</a:t>
            </a:r>
            <a:r>
              <a:rPr lang="en-US" baseline="0"/>
              <a:t> mas vendidos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Dashboard!$B$26:$B$31</c:f>
              <c:strCache>
                <c:ptCount val="5"/>
                <c:pt idx="0">
                  <c:v>Audifonos JBL</c:v>
                </c:pt>
                <c:pt idx="1">
                  <c:v>Laptop Lenovo</c:v>
                </c:pt>
                <c:pt idx="2">
                  <c:v>Monitor Samsung</c:v>
                </c:pt>
                <c:pt idx="3">
                  <c:v>Mouse Logitech</c:v>
                </c:pt>
                <c:pt idx="4">
                  <c:v>Teclado Redragon</c:v>
                </c:pt>
              </c:strCache>
            </c:strRef>
          </c:cat>
          <c:val>
            <c:numRef>
              <c:f>Dashboard!$C$26:$C$31</c:f>
              <c:numCache>
                <c:formatCode>"S/"\ #,##0.00</c:formatCode>
                <c:ptCount val="5"/>
                <c:pt idx="0">
                  <c:v>150</c:v>
                </c:pt>
                <c:pt idx="1">
                  <c:v>2500</c:v>
                </c:pt>
                <c:pt idx="2">
                  <c:v>900</c:v>
                </c:pt>
                <c:pt idx="3">
                  <c:v>160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C-4F3E-B12B-EE3615A50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5672448"/>
        <c:axId val="925675328"/>
      </c:barChart>
      <c:catAx>
        <c:axId val="92567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5675328"/>
        <c:crosses val="autoZero"/>
        <c:auto val="1"/>
        <c:lblAlgn val="ctr"/>
        <c:lblOffset val="100"/>
        <c:noMultiLvlLbl val="0"/>
      </c:catAx>
      <c:valAx>
        <c:axId val="92567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567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304850</xdr:colOff>
      <xdr:row>6</xdr:row>
      <xdr:rowOff>15609</xdr:rowOff>
    </xdr:from>
    <xdr:to>
      <xdr:col>10</xdr:col>
      <xdr:colOff>11205</xdr:colOff>
      <xdr:row>22</xdr:row>
      <xdr:rowOff>33616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946A00-E8B4-2626-5070-E10B737E5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317326</xdr:colOff>
      <xdr:row>22</xdr:row>
      <xdr:rowOff>145676</xdr:rowOff>
    </xdr:from>
    <xdr:to>
      <xdr:col>9</xdr:col>
      <xdr:colOff>761999</xdr:colOff>
      <xdr:row>34</xdr:row>
      <xdr:rowOff>22411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F411E5-24F2-707A-4C4E-C3E8D794A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323570</xdr:colOff>
      <xdr:row>34</xdr:row>
      <xdr:rowOff>167806</xdr:rowOff>
    </xdr:from>
    <xdr:to>
      <xdr:col>11</xdr:col>
      <xdr:colOff>750793</xdr:colOff>
      <xdr:row>50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2BAC59-0D15-0F8D-3CA8-EE31FC2C1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219941</xdr:colOff>
      <xdr:row>6</xdr:row>
      <xdr:rowOff>28575</xdr:rowOff>
    </xdr:from>
    <xdr:to>
      <xdr:col>12</xdr:col>
      <xdr:colOff>524741</xdr:colOff>
      <xdr:row>20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ategoria">
              <a:extLst>
                <a:ext uri="{FF2B5EF4-FFF2-40B4-BE49-F238E27FC236}">
                  <a16:creationId xmlns:a16="http://schemas.microsoft.com/office/drawing/2014/main" id="{E1F6D363-4A8A-023C-2BCA-6E4FF4E194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1941" y="11715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730828</xdr:colOff>
      <xdr:row>6</xdr:row>
      <xdr:rowOff>2597</xdr:rowOff>
    </xdr:from>
    <xdr:to>
      <xdr:col>15</xdr:col>
      <xdr:colOff>273628</xdr:colOff>
      <xdr:row>20</xdr:row>
      <xdr:rowOff>2597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ubtotal">
              <a:extLst>
                <a:ext uri="{FF2B5EF4-FFF2-40B4-BE49-F238E27FC236}">
                  <a16:creationId xmlns:a16="http://schemas.microsoft.com/office/drawing/2014/main" id="{9A7C79FD-15DE-AAB8-8D67-686208EBEA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tot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26828" y="1145597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209551</xdr:colOff>
      <xdr:row>22</xdr:row>
      <xdr:rowOff>179615</xdr:rowOff>
    </xdr:from>
    <xdr:to>
      <xdr:col>12</xdr:col>
      <xdr:colOff>514351</xdr:colOff>
      <xdr:row>33</xdr:row>
      <xdr:rowOff>149679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cliente">
              <a:extLst>
                <a:ext uri="{FF2B5EF4-FFF2-40B4-BE49-F238E27FC236}">
                  <a16:creationId xmlns:a16="http://schemas.microsoft.com/office/drawing/2014/main" id="{879CD55D-70F6-A455-E101-B35BBA4501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1551" y="4370615"/>
              <a:ext cx="1828800" cy="20655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699407</xdr:colOff>
      <xdr:row>23</xdr:row>
      <xdr:rowOff>2721</xdr:rowOff>
    </xdr:from>
    <xdr:to>
      <xdr:col>15</xdr:col>
      <xdr:colOff>242207</xdr:colOff>
      <xdr:row>33</xdr:row>
      <xdr:rowOff>176892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subtotal 1">
              <a:extLst>
                <a:ext uri="{FF2B5EF4-FFF2-40B4-BE49-F238E27FC236}">
                  <a16:creationId xmlns:a16="http://schemas.microsoft.com/office/drawing/2014/main" id="{775EFE8D-41BC-4B71-0778-2D19AF8A51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total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95407" y="4384221"/>
              <a:ext cx="1828800" cy="20791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166688</xdr:colOff>
      <xdr:row>35</xdr:row>
      <xdr:rowOff>9525</xdr:rowOff>
    </xdr:from>
    <xdr:to>
      <xdr:col>14</xdr:col>
      <xdr:colOff>471488</xdr:colOff>
      <xdr:row>49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producto">
              <a:extLst>
                <a:ext uri="{FF2B5EF4-FFF2-40B4-BE49-F238E27FC236}">
                  <a16:creationId xmlns:a16="http://schemas.microsoft.com/office/drawing/2014/main" id="{46BA009C-1A4B-7689-CC16-79C9908C85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2688" y="66770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642938</xdr:colOff>
      <xdr:row>35</xdr:row>
      <xdr:rowOff>9525</xdr:rowOff>
    </xdr:from>
    <xdr:to>
      <xdr:col>17</xdr:col>
      <xdr:colOff>185738</xdr:colOff>
      <xdr:row>49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subtotal 2">
              <a:extLst>
                <a:ext uri="{FF2B5EF4-FFF2-40B4-BE49-F238E27FC236}">
                  <a16:creationId xmlns:a16="http://schemas.microsoft.com/office/drawing/2014/main" id="{DE34299D-2272-41B4-0A8E-FA74C53D95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total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2938" y="66770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" refreshedDate="46160.861391666665" createdVersion="8" refreshedVersion="8" minRefreshableVersion="3" recordCount="6" xr:uid="{4CFF30DE-891C-449E-AA01-A9C8EF568BDF}">
  <cacheSource type="worksheet">
    <worksheetSource name="Tabla1"/>
  </cacheSource>
  <cacheFields count="7">
    <cacheField name="id_venta" numFmtId="0">
      <sharedItems containsSemiMixedTypes="0" containsString="0" containsNumber="1" containsInteger="1" minValue="1" maxValue="4"/>
    </cacheField>
    <cacheField name="cliente" numFmtId="0">
      <sharedItems count="3">
        <s v="Ana Torres"/>
        <s v="Lucia Mendoza"/>
        <s v="Carlos Ruiz"/>
      </sharedItems>
    </cacheField>
    <cacheField name="categoria" numFmtId="0">
      <sharedItems count="4">
        <s v="Laptos"/>
        <s v="Accesorios"/>
        <s v="Monitores"/>
        <s v="Audio"/>
      </sharedItems>
    </cacheField>
    <cacheField name="producto" numFmtId="0">
      <sharedItems count="5">
        <s v="Laptop Lenovo"/>
        <s v="Mouse Logitech"/>
        <s v="Teclado Redragon"/>
        <s v="Monitor Samsung"/>
        <s v="Audifonos JBL"/>
      </sharedItems>
    </cacheField>
    <cacheField name="cantidad" numFmtId="0">
      <sharedItems containsSemiMixedTypes="0" containsString="0" containsNumber="1" containsInteger="1" minValue="1" maxValue="1"/>
    </cacheField>
    <cacheField name="subtotal" numFmtId="164">
      <sharedItems containsSemiMixedTypes="0" containsString="0" containsNumber="1" containsInteger="1" minValue="80" maxValue="2500" count="5">
        <n v="2500"/>
        <n v="80"/>
        <n v="120"/>
        <n v="900"/>
        <n v="150"/>
      </sharedItems>
    </cacheField>
    <cacheField name="fecha_venta" numFmtId="14">
      <sharedItems containsSemiMixedTypes="0" containsNonDate="0" containsDate="1" containsString="0" minDate="2026-05-01T00:00:00" maxDate="2026-05-07T00:00:00" count="4">
        <d v="2026-05-01T00:00:00"/>
        <d v="2026-05-04T00:00:00"/>
        <d v="2026-05-03T00:00:00"/>
        <d v="2026-05-06T00:00:00"/>
      </sharedItems>
    </cacheField>
  </cacheFields>
  <extLst>
    <ext xmlns:x14="http://schemas.microsoft.com/office/spreadsheetml/2009/9/main" uri="{725AE2AE-9491-48be-B2B4-4EB974FC3084}">
      <x14:pivotCacheDefinition pivotCacheId="686117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x v="0"/>
    <x v="0"/>
    <x v="0"/>
    <n v="1"/>
    <x v="0"/>
    <x v="0"/>
  </r>
  <r>
    <n v="1"/>
    <x v="0"/>
    <x v="1"/>
    <x v="1"/>
    <n v="1"/>
    <x v="1"/>
    <x v="0"/>
  </r>
  <r>
    <n v="3"/>
    <x v="1"/>
    <x v="1"/>
    <x v="1"/>
    <n v="1"/>
    <x v="1"/>
    <x v="1"/>
  </r>
  <r>
    <n v="3"/>
    <x v="1"/>
    <x v="1"/>
    <x v="2"/>
    <n v="1"/>
    <x v="2"/>
    <x v="1"/>
  </r>
  <r>
    <n v="2"/>
    <x v="2"/>
    <x v="2"/>
    <x v="3"/>
    <n v="1"/>
    <x v="3"/>
    <x v="2"/>
  </r>
  <r>
    <n v="4"/>
    <x v="0"/>
    <x v="3"/>
    <x v="4"/>
    <n v="1"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23652-CC81-4485-9E2A-CB997F722CD9}" name="TablaDiná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25:C31" firstHeaderRow="1" firstDataRow="1" firstDataCol="1"/>
  <pivotFields count="7"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dataField="1" numFmtId="164" showAll="0">
      <items count="6">
        <item x="1"/>
        <item x="2"/>
        <item x="4"/>
        <item x="3"/>
        <item x="0"/>
        <item t="default"/>
      </items>
    </pivotField>
    <pivotField numFmtId="14" showAll="0">
      <items count="5">
        <item x="0"/>
        <item x="2"/>
        <item x="1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subtotal" fld="5" baseField="3" baseItem="0" numFmtId="164"/>
  </dataFields>
  <formats count="6">
    <format dxfId="90">
      <pivotArea type="all" dataOnly="0" outline="0" fieldPosition="0"/>
    </format>
    <format dxfId="91">
      <pivotArea outline="0" collapsedLevelsAreSubtotals="1" fieldPosition="0"/>
    </format>
    <format dxfId="92">
      <pivotArea field="3" type="button" dataOnly="0" labelOnly="1" outline="0" axis="axisRow" fieldPosition="0"/>
    </format>
    <format dxfId="93">
      <pivotArea dataOnly="0" labelOnly="1" fieldPosition="0">
        <references count="1">
          <reference field="3" count="0"/>
        </references>
      </pivotArea>
    </format>
    <format dxfId="94">
      <pivotArea dataOnly="0" labelOnly="1" grandRow="1" outline="0" fieldPosition="0"/>
    </format>
    <format dxfId="9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D359A-FC12-49DE-A0DB-33A956296AD7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17:C21" firstHeaderRow="1" firstDataRow="1" firstDataCol="1"/>
  <pivotFields count="7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numFmtId="164" showAll="0">
      <items count="6">
        <item x="1"/>
        <item x="2"/>
        <item x="4"/>
        <item x="3"/>
        <item x="0"/>
        <item t="default"/>
      </items>
    </pivotField>
    <pivotField numFmtId="1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ubtotal" fld="5" baseField="0" baseItem="0" numFmtId="164"/>
  </dataFields>
  <formats count="6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53706-D315-4BB8-A2DC-95AC537E5CAB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B8:C13" firstHeaderRow="1" firstDataRow="1" firstDataCol="1"/>
  <pivotFields count="7">
    <pivotField compact="0" outline="0" showAll="0" defaultSubtotal="0"/>
    <pivotField compact="0" outline="0" showAll="0" defaultSubtotal="0">
      <items count="3">
        <item x="0"/>
        <item x="2"/>
        <item x="1"/>
      </items>
    </pivotField>
    <pivotField axis="axisRow" compact="0" outline="0" showAll="0" defaultSubtotal="0">
      <items count="4">
        <item x="1"/>
        <item x="3"/>
        <item x="0"/>
        <item x="2"/>
      </items>
    </pivotField>
    <pivotField compact="0" outline="0" showAll="0" defaultSubtotal="0">
      <items count="5">
        <item x="4"/>
        <item x="0"/>
        <item x="3"/>
        <item x="1"/>
        <item x="2"/>
      </items>
    </pivotField>
    <pivotField compact="0" outline="0" showAll="0" defaultSubtotal="0"/>
    <pivotField dataField="1" compact="0" numFmtId="164" outline="0" showAll="0" defaultSubtotal="0">
      <items count="5">
        <item x="1"/>
        <item x="2"/>
        <item x="4"/>
        <item x="3"/>
        <item x="0"/>
      </items>
    </pivotField>
    <pivotField compact="0" numFmtId="14" outline="0" showAll="0" defaultSubtotal="0">
      <items count="4">
        <item x="0"/>
        <item x="2"/>
        <item x="1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subtotal" fld="5" baseField="0" baseItem="0" numFmtId="164"/>
  </dataFields>
  <formats count="6">
    <format dxfId="84">
      <pivotArea type="all" dataOnly="0" outline="0" fieldPosition="0"/>
    </format>
    <format dxfId="85">
      <pivotArea outline="0" collapsedLevelsAreSubtotals="1" fieldPosition="0"/>
    </format>
    <format dxfId="86">
      <pivotArea field="2" type="button" dataOnly="0" labelOnly="1" outline="0" axis="axisRow" fieldPosition="0"/>
    </format>
    <format dxfId="87">
      <pivotArea dataOnly="0" labelOnly="1" outline="0" fieldPosition="0">
        <references count="1">
          <reference field="2" count="0"/>
        </references>
      </pivotArea>
    </format>
    <format dxfId="88">
      <pivotArea dataOnly="0" labelOnly="1" grandRow="1" outline="0" fieldPosition="0"/>
    </format>
    <format dxfId="8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41B7CBC4-ED56-4709-B82A-1BE612E5CFF0}" sourceName="categoria">
  <pivotTables>
    <pivotTable tabId="2" name="TablaDinámica1"/>
  </pivotTables>
  <data>
    <tabular pivotCacheId="68611770">
      <items count="4">
        <i x="1" s="1"/>
        <i x="3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total" xr10:uid="{160A4ABA-5E43-4F2B-BAFF-DA926DA45824}" sourceName="subtotal">
  <pivotTables>
    <pivotTable tabId="2" name="TablaDinámica1"/>
  </pivotTables>
  <data>
    <tabular pivotCacheId="68611770">
      <items count="5">
        <i x="1" s="1"/>
        <i x="2" s="1"/>
        <i x="4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875359E-E402-460D-B92C-7D88AA4AC4CC}" sourceName="cliente">
  <pivotTables>
    <pivotTable tabId="2" name="TablaDinámica2"/>
  </pivotTables>
  <data>
    <tabular pivotCacheId="68611770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total1" xr10:uid="{E1362E31-E1F0-4E91-9609-5DAED1181315}" sourceName="subtotal">
  <pivotTables>
    <pivotTable tabId="2" name="TablaDinámica2"/>
  </pivotTables>
  <data>
    <tabular pivotCacheId="68611770">
      <items count="5">
        <i x="1" s="1"/>
        <i x="2" s="1"/>
        <i x="4" s="1"/>
        <i x="3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BA834FD8-9026-4A09-B650-580ED3E454F6}" sourceName="producto">
  <pivotTables>
    <pivotTable tabId="2" name="TablaDinámica3"/>
  </pivotTables>
  <data>
    <tabular pivotCacheId="68611770">
      <items count="5">
        <i x="4" s="1"/>
        <i x="0" s="1"/>
        <i x="3" s="1"/>
        <i x="1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total2" xr10:uid="{C70EA793-8102-4CB4-A457-1C8C9CE23B02}" sourceName="subtotal">
  <pivotTables>
    <pivotTable tabId="2" name="TablaDinámica3"/>
  </pivotTables>
  <data>
    <tabular pivotCacheId="68611770">
      <items count="5">
        <i x="1" s="1"/>
        <i x="2" s="1"/>
        <i x="4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7566DE24-8F51-421B-BA3F-537E49019500}" cache="SegmentaciónDeDatos_categoria" caption="categoria" rowHeight="257175"/>
  <slicer name="subtotal" xr10:uid="{D89C93C4-AD8B-425A-B516-EF9291FBD618}" cache="SegmentaciónDeDatos_subtotal" caption="subtotal" rowHeight="257175"/>
  <slicer name="cliente" xr10:uid="{87BC8767-68A1-44A6-AE78-95F020700FB3}" cache="SegmentaciónDeDatos_cliente" caption="cliente" rowHeight="257175"/>
  <slicer name="subtotal 1" xr10:uid="{4F70F6C8-4765-4147-B9B5-A823272A6225}" cache="SegmentaciónDeDatos_subtotal1" caption="subtotal" rowHeight="257175"/>
  <slicer name="producto" xr10:uid="{EFBFA20C-8B62-4138-B490-80AAEFFA0D69}" cache="SegmentaciónDeDatos_producto" caption="producto" rowHeight="257175"/>
  <slicer name="subtotal 2" xr10:uid="{ADFD4F00-E695-4488-9CBA-5083A9E407BE}" cache="SegmentaciónDeDatos_subtotal2" caption="subtotal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32C9F-40CE-4320-A789-9E8155D7BB03}" name="Tabla1" displayName="Tabla1" ref="B2:H8" totalsRowShown="0">
  <autoFilter ref="B2:H8" xr:uid="{36C32C9F-40CE-4320-A789-9E8155D7BB03}"/>
  <tableColumns count="7">
    <tableColumn id="1" xr3:uid="{78D14528-DB24-4973-9CE3-5D7CD25CC011}" name="id_venta"/>
    <tableColumn id="2" xr3:uid="{748D75F1-CA01-49D9-8EBF-088D0ADEAB3F}" name="cliente"/>
    <tableColumn id="3" xr3:uid="{0253EC93-F73E-4050-92D7-4CE09115455B}" name="categoria"/>
    <tableColumn id="4" xr3:uid="{6EBC8590-0E26-4FE6-A427-4246FB27BEC9}" name="producto"/>
    <tableColumn id="5" xr3:uid="{BC18323F-FC8E-47DB-8DC2-A686D654F263}" name="cantidad"/>
    <tableColumn id="6" xr3:uid="{800DCE2D-F985-45B2-9D64-1EFC7FEBF662}" name="subtotal" dataDxfId="102"/>
    <tableColumn id="7" xr3:uid="{7586F331-5F99-4191-8965-E30768378090}" name="fecha_venta" dataDxfId="10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7E25-442C-4A4C-B7FA-4770983C8ED6}">
  <dimension ref="A8:E31"/>
  <sheetViews>
    <sheetView tabSelected="1" topLeftCell="E1" zoomScale="40" zoomScaleNormal="40" workbookViewId="0">
      <selection activeCell="U30" sqref="U30"/>
    </sheetView>
  </sheetViews>
  <sheetFormatPr baseColWidth="10" defaultRowHeight="15" outlineLevelCol="1" x14ac:dyDescent="0.25"/>
  <cols>
    <col min="1" max="1" width="11.42578125" hidden="1" customWidth="1" outlineLevel="1"/>
    <col min="2" max="2" width="20.140625" hidden="1" customWidth="1" outlineLevel="1"/>
    <col min="3" max="3" width="23.42578125" hidden="1" customWidth="1" outlineLevel="1"/>
    <col min="4" max="4" width="13.7109375" hidden="1" customWidth="1" outlineLevel="1"/>
    <col min="5" max="5" width="11.42578125" collapsed="1"/>
  </cols>
  <sheetData>
    <row r="8" spans="2:3" x14ac:dyDescent="0.25">
      <c r="B8" s="3" t="s">
        <v>2</v>
      </c>
      <c r="C8" s="4" t="s">
        <v>21</v>
      </c>
    </row>
    <row r="9" spans="2:3" x14ac:dyDescent="0.25">
      <c r="B9" s="4" t="s">
        <v>10</v>
      </c>
      <c r="C9" s="5">
        <v>280</v>
      </c>
    </row>
    <row r="10" spans="2:3" x14ac:dyDescent="0.25">
      <c r="B10" s="4" t="s">
        <v>17</v>
      </c>
      <c r="C10" s="5">
        <v>150</v>
      </c>
    </row>
    <row r="11" spans="2:3" x14ac:dyDescent="0.25">
      <c r="B11" s="4" t="s">
        <v>8</v>
      </c>
      <c r="C11" s="5">
        <v>2500</v>
      </c>
    </row>
    <row r="12" spans="2:3" x14ac:dyDescent="0.25">
      <c r="B12" s="4" t="s">
        <v>15</v>
      </c>
      <c r="C12" s="5">
        <v>900</v>
      </c>
    </row>
    <row r="13" spans="2:3" x14ac:dyDescent="0.25">
      <c r="B13" s="4" t="s">
        <v>20</v>
      </c>
      <c r="C13" s="5">
        <v>3830</v>
      </c>
    </row>
    <row r="17" spans="2:3" x14ac:dyDescent="0.25">
      <c r="B17" s="3" t="s">
        <v>19</v>
      </c>
      <c r="C17" s="4" t="s">
        <v>21</v>
      </c>
    </row>
    <row r="18" spans="2:3" x14ac:dyDescent="0.25">
      <c r="B18" s="6" t="s">
        <v>7</v>
      </c>
      <c r="C18" s="5">
        <v>2730</v>
      </c>
    </row>
    <row r="19" spans="2:3" x14ac:dyDescent="0.25">
      <c r="B19" s="6" t="s">
        <v>14</v>
      </c>
      <c r="C19" s="5">
        <v>900</v>
      </c>
    </row>
    <row r="20" spans="2:3" x14ac:dyDescent="0.25">
      <c r="B20" s="6" t="s">
        <v>12</v>
      </c>
      <c r="C20" s="5">
        <v>200</v>
      </c>
    </row>
    <row r="21" spans="2:3" x14ac:dyDescent="0.25">
      <c r="B21" s="6" t="s">
        <v>20</v>
      </c>
      <c r="C21" s="5">
        <v>3830</v>
      </c>
    </row>
    <row r="25" spans="2:3" x14ac:dyDescent="0.25">
      <c r="B25" s="3" t="s">
        <v>19</v>
      </c>
      <c r="C25" s="4" t="s">
        <v>21</v>
      </c>
    </row>
    <row r="26" spans="2:3" x14ac:dyDescent="0.25">
      <c r="B26" s="6" t="s">
        <v>18</v>
      </c>
      <c r="C26" s="5">
        <v>150</v>
      </c>
    </row>
    <row r="27" spans="2:3" x14ac:dyDescent="0.25">
      <c r="B27" s="6" t="s">
        <v>9</v>
      </c>
      <c r="C27" s="5">
        <v>2500</v>
      </c>
    </row>
    <row r="28" spans="2:3" x14ac:dyDescent="0.25">
      <c r="B28" s="6" t="s">
        <v>16</v>
      </c>
      <c r="C28" s="5">
        <v>900</v>
      </c>
    </row>
    <row r="29" spans="2:3" x14ac:dyDescent="0.25">
      <c r="B29" s="6" t="s">
        <v>11</v>
      </c>
      <c r="C29" s="5">
        <v>160</v>
      </c>
    </row>
    <row r="30" spans="2:3" x14ac:dyDescent="0.25">
      <c r="B30" s="6" t="s">
        <v>13</v>
      </c>
      <c r="C30" s="5">
        <v>120</v>
      </c>
    </row>
    <row r="31" spans="2:3" x14ac:dyDescent="0.25">
      <c r="B31" s="6" t="s">
        <v>20</v>
      </c>
      <c r="C31" s="5">
        <v>3830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155D-9B1B-4E2F-A431-2F8B74D2D8F4}">
  <dimension ref="B2:H8"/>
  <sheetViews>
    <sheetView zoomScale="85" zoomScaleNormal="85" workbookViewId="0">
      <selection activeCell="E14" sqref="E14"/>
    </sheetView>
  </sheetViews>
  <sheetFormatPr baseColWidth="10" defaultRowHeight="15" x14ac:dyDescent="0.25"/>
  <cols>
    <col min="2" max="2" width="10.85546875" bestFit="1" customWidth="1"/>
    <col min="3" max="3" width="14.140625" bestFit="1" customWidth="1"/>
    <col min="4" max="4" width="11.5703125" bestFit="1" customWidth="1"/>
    <col min="5" max="5" width="17" bestFit="1" customWidth="1"/>
    <col min="6" max="6" width="11" bestFit="1" customWidth="1"/>
    <col min="7" max="7" width="10.7109375" style="2" bestFit="1" customWidth="1"/>
    <col min="8" max="8" width="14.140625" bestFit="1" customWidth="1"/>
  </cols>
  <sheetData>
    <row r="2" spans="2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s="2" t="s">
        <v>5</v>
      </c>
      <c r="H2" t="s">
        <v>6</v>
      </c>
    </row>
    <row r="3" spans="2:8" x14ac:dyDescent="0.25">
      <c r="B3">
        <v>1</v>
      </c>
      <c r="C3" t="s">
        <v>7</v>
      </c>
      <c r="D3" t="s">
        <v>8</v>
      </c>
      <c r="E3" t="s">
        <v>9</v>
      </c>
      <c r="F3">
        <v>1</v>
      </c>
      <c r="G3" s="2">
        <v>2500</v>
      </c>
      <c r="H3" s="1">
        <v>46143</v>
      </c>
    </row>
    <row r="4" spans="2:8" x14ac:dyDescent="0.25">
      <c r="B4">
        <v>1</v>
      </c>
      <c r="C4" t="s">
        <v>7</v>
      </c>
      <c r="D4" t="s">
        <v>10</v>
      </c>
      <c r="E4" t="s">
        <v>11</v>
      </c>
      <c r="F4">
        <v>1</v>
      </c>
      <c r="G4" s="2">
        <v>80</v>
      </c>
      <c r="H4" s="1">
        <v>46143</v>
      </c>
    </row>
    <row r="5" spans="2:8" x14ac:dyDescent="0.25">
      <c r="B5">
        <v>3</v>
      </c>
      <c r="C5" t="s">
        <v>12</v>
      </c>
      <c r="D5" t="s">
        <v>10</v>
      </c>
      <c r="E5" t="s">
        <v>11</v>
      </c>
      <c r="F5">
        <v>1</v>
      </c>
      <c r="G5" s="2">
        <v>80</v>
      </c>
      <c r="H5" s="1">
        <v>46146</v>
      </c>
    </row>
    <row r="6" spans="2:8" x14ac:dyDescent="0.25">
      <c r="B6">
        <v>3</v>
      </c>
      <c r="C6" t="s">
        <v>12</v>
      </c>
      <c r="D6" t="s">
        <v>10</v>
      </c>
      <c r="E6" t="s">
        <v>13</v>
      </c>
      <c r="F6">
        <v>1</v>
      </c>
      <c r="G6" s="2">
        <v>120</v>
      </c>
      <c r="H6" s="1">
        <v>46146</v>
      </c>
    </row>
    <row r="7" spans="2:8" x14ac:dyDescent="0.25">
      <c r="B7">
        <v>2</v>
      </c>
      <c r="C7" t="s">
        <v>14</v>
      </c>
      <c r="D7" t="s">
        <v>15</v>
      </c>
      <c r="E7" t="s">
        <v>16</v>
      </c>
      <c r="F7">
        <v>1</v>
      </c>
      <c r="G7" s="2">
        <v>900</v>
      </c>
      <c r="H7" s="1">
        <v>46145</v>
      </c>
    </row>
    <row r="8" spans="2:8" x14ac:dyDescent="0.25">
      <c r="B8">
        <v>4</v>
      </c>
      <c r="C8" t="s">
        <v>7</v>
      </c>
      <c r="D8" t="s">
        <v>17</v>
      </c>
      <c r="E8" t="s">
        <v>18</v>
      </c>
      <c r="F8">
        <v>1</v>
      </c>
      <c r="G8" s="2">
        <v>150</v>
      </c>
      <c r="H8" s="1">
        <v>46148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ventas_dashboard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LN48355336 (Santa Cruz Vilca, Jakeline Sara)</cp:lastModifiedBy>
  <dcterms:created xsi:type="dcterms:W3CDTF">2026-05-19T01:23:52Z</dcterms:created>
  <dcterms:modified xsi:type="dcterms:W3CDTF">2026-05-19T02:43:53Z</dcterms:modified>
</cp:coreProperties>
</file>